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s Financieros (Datos)" sheetId="1" state="visible" r:id="rId1"/>
    <sheet xmlns:r="http://schemas.openxmlformats.org/officeDocument/2006/relationships" name="Plantilla Trabajo Estudiante" sheetId="2" state="visible" r:id="rId2"/>
    <sheet xmlns:r="http://schemas.openxmlformats.org/officeDocument/2006/relationships" name="Solucionario Doc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BS&quot;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6"/>
    </font>
    <font>
      <name val="Calibri"/>
      <i val="1"/>
      <color rgb="00334155"/>
      <sz val="11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47857"/>
      <sz val="11"/>
    </font>
  </fonts>
  <fills count="6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0FDF4"/>
        <bgColor rgb="00F0FDF4"/>
      </patternFill>
    </fill>
    <fill>
      <patternFill patternType="solid">
        <fgColor rgb="000284C7"/>
        <bgColor rgb="000284C7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0" fontId="3" fillId="3" borderId="2" pivotButton="0" quotePrefix="0" xfId="0"/>
    <xf numFmtId="164" fontId="3" fillId="3" borderId="2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3" borderId="2" pivotButton="0" quotePrefix="0" xfId="0"/>
    <xf numFmtId="164" fontId="5" fillId="3" borderId="2" applyAlignment="1" pivotButton="0" quotePrefix="0" xfId="0">
      <alignment horizontal="right"/>
    </xf>
    <xf numFmtId="0" fontId="0" fillId="3" borderId="2" applyAlignment="1" pivotButton="0" quotePrefix="0" xfId="0">
      <alignment horizontal="right"/>
    </xf>
    <xf numFmtId="0" fontId="4" fillId="4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164" fontId="3" fillId="0" borderId="1" pivotButton="0" quotePrefix="0" xfId="0"/>
    <xf numFmtId="0" fontId="1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0" fillId="5" borderId="1" pivotButton="0" quotePrefix="0" xfId="0"/>
    <xf numFmtId="164" fontId="0" fillId="0" borderId="1" pivotButton="0" quotePrefix="0" xfId="0"/>
    <xf numFmtId="10" fontId="6" fillId="3" borderId="1" pivotButton="0" quotePrefix="0" xfId="0"/>
    <xf numFmtId="164" fontId="6" fillId="3" borderId="1" pivotButton="0" quotePrefix="0" xfId="0"/>
    <xf numFmtId="2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 outlineLevelCol="0"/>
  <cols>
    <col width="111" customWidth="1" min="1" max="1"/>
    <col width="15" customWidth="1" min="2" max="2"/>
    <col width="15" customWidth="1" min="3" max="3"/>
    <col width="34" customWidth="1" min="4" max="4"/>
    <col width="15" customWidth="1" min="5" max="5"/>
    <col width="15" customWidth="1" min="6" max="6"/>
  </cols>
  <sheetData>
    <row r="1">
      <c r="A1" s="1" t="inlineStr">
        <is>
          <t>COMERCIALIZADORA INDUSTRIAL LOS ANDES, C.A.</t>
        </is>
      </c>
    </row>
    <row r="2">
      <c r="A2" s="2" t="inlineStr">
        <is>
          <t>Cuestionario y Datos de Trabajo | Módulo 10: Análisis de la Contabilidad (UCSAR - Prof. MSc. Frank Clemente)</t>
        </is>
      </c>
    </row>
    <row r="3"/>
    <row r="4">
      <c r="A4" s="3" t="inlineStr">
        <is>
          <t>1. ESTADO DE SITUACIÓN FINANCIERA (BALANCE GENERAL) COMPARATIVO</t>
        </is>
      </c>
    </row>
    <row r="5">
      <c r="A5" s="4" t="inlineStr">
        <is>
          <t>Código / Cuenta Patrimonial</t>
        </is>
      </c>
      <c r="B5" s="4" t="inlineStr">
        <is>
          <t>Año 1 (BS)</t>
        </is>
      </c>
      <c r="C5" s="4" t="inlineStr">
        <is>
          <t>Año 2 (BS)</t>
        </is>
      </c>
      <c r="D5" s="4" t="inlineStr">
        <is>
          <t>Pasivos y Patrimonio</t>
        </is>
      </c>
      <c r="E5" s="4" t="inlineStr">
        <is>
          <t>Año 1 (BS)</t>
        </is>
      </c>
      <c r="F5" s="4" t="inlineStr">
        <is>
          <t>Año 2 (BS)</t>
        </is>
      </c>
    </row>
    <row r="6">
      <c r="A6" s="5" t="inlineStr">
        <is>
          <t>Efectivo y Equivalentes</t>
        </is>
      </c>
      <c r="B6" s="6" t="n">
        <v>45000</v>
      </c>
      <c r="C6" s="6" t="n">
        <v>5000</v>
      </c>
      <c r="D6" s="5" t="inlineStr">
        <is>
          <t>Cuentas por Pagar Proveedores</t>
        </is>
      </c>
      <c r="E6" s="6" t="n">
        <v>60000</v>
      </c>
      <c r="F6" s="6" t="n">
        <v>180000</v>
      </c>
    </row>
    <row r="7">
      <c r="A7" s="5" t="inlineStr">
        <is>
          <t>Cuentas por Cobrar (Neto)</t>
        </is>
      </c>
      <c r="B7" s="6" t="n">
        <v>80000</v>
      </c>
      <c r="C7" s="6" t="n">
        <v>250000</v>
      </c>
      <c r="D7" s="5" t="inlineStr">
        <is>
          <t>Gastos Acumulados por Pagar</t>
        </is>
      </c>
      <c r="E7" s="6" t="n">
        <v>15000</v>
      </c>
      <c r="F7" s="6" t="n">
        <v>45000</v>
      </c>
    </row>
    <row r="8">
      <c r="A8" s="5" t="inlineStr">
        <is>
          <t>Inventarios</t>
        </is>
      </c>
      <c r="B8" s="6" t="n">
        <v>120000</v>
      </c>
      <c r="C8" s="6" t="n">
        <v>320000</v>
      </c>
      <c r="D8" s="5" t="inlineStr">
        <is>
          <t>Préstamos Bancarios Corto Plazo</t>
        </is>
      </c>
      <c r="E8" s="6" t="n">
        <v>25000</v>
      </c>
      <c r="F8" s="6" t="n">
        <v>50000</v>
      </c>
    </row>
    <row r="9">
      <c r="A9" s="7" t="inlineStr">
        <is>
          <t>TOTAL ACTIVO CORRIENTE</t>
        </is>
      </c>
      <c r="B9" s="8" t="n">
        <v>245000</v>
      </c>
      <c r="C9" s="8" t="n">
        <v>575000</v>
      </c>
      <c r="D9" s="7" t="inlineStr">
        <is>
          <t>TOTAL PASIVO CORRIENTE</t>
        </is>
      </c>
      <c r="E9" s="8" t="n">
        <v>100000</v>
      </c>
      <c r="F9" s="8" t="n">
        <v>275000</v>
      </c>
    </row>
    <row r="10">
      <c r="A10" s="5" t="inlineStr"/>
      <c r="B10" s="9" t="inlineStr"/>
      <c r="C10" s="9" t="inlineStr"/>
      <c r="D10" s="5" t="inlineStr"/>
      <c r="E10" s="9" t="inlineStr"/>
      <c r="F10" s="9" t="inlineStr"/>
    </row>
    <row r="11">
      <c r="A11" s="5" t="inlineStr">
        <is>
          <t>Terrenos y Edificios (Neto)</t>
        </is>
      </c>
      <c r="B11" s="6" t="n">
        <v>300000</v>
      </c>
      <c r="C11" s="6" t="n">
        <v>290000</v>
      </c>
      <c r="D11" s="5" t="inlineStr">
        <is>
          <t>Préstamos Bancarios Largo Plazo</t>
        </is>
      </c>
      <c r="E11" s="6" t="n">
        <v>150000</v>
      </c>
      <c r="F11" s="6" t="n">
        <v>120000</v>
      </c>
    </row>
    <row r="12">
      <c r="A12" s="10" t="inlineStr">
        <is>
          <t>Maquinaria y Equipos (Neto)</t>
        </is>
      </c>
      <c r="B12" s="11" t="n">
        <v>180000</v>
      </c>
      <c r="C12" s="11" t="n">
        <v>165000</v>
      </c>
      <c r="D12" s="7" t="inlineStr">
        <is>
          <t>TOTAL PASIVO NO CORRIENTE</t>
        </is>
      </c>
      <c r="E12" s="11" t="n">
        <v>150000</v>
      </c>
      <c r="F12" s="11" t="n">
        <v>120000</v>
      </c>
    </row>
    <row r="13">
      <c r="A13" s="7" t="inlineStr">
        <is>
          <t>TOTAL ACTIVO NO CORRIENTE</t>
        </is>
      </c>
      <c r="B13" s="8" t="n">
        <v>480000</v>
      </c>
      <c r="C13" s="8" t="n">
        <v>455000</v>
      </c>
      <c r="D13" s="7" t="inlineStr">
        <is>
          <t>TOTAL PASIVO</t>
        </is>
      </c>
      <c r="E13" s="8" t="n">
        <v>250000</v>
      </c>
      <c r="F13" s="8" t="n">
        <v>395000</v>
      </c>
    </row>
    <row r="14">
      <c r="A14" s="5" t="inlineStr"/>
      <c r="B14" s="9" t="inlineStr"/>
      <c r="C14" s="9" t="inlineStr"/>
      <c r="D14" s="5" t="inlineStr"/>
      <c r="E14" s="9" t="inlineStr"/>
      <c r="F14" s="9" t="inlineStr"/>
    </row>
    <row r="15">
      <c r="A15" s="5" t="inlineStr"/>
      <c r="B15" s="9" t="inlineStr"/>
      <c r="C15" s="9" t="inlineStr"/>
      <c r="D15" s="5" t="inlineStr">
        <is>
          <t>Capital Social</t>
        </is>
      </c>
      <c r="E15" s="6" t="n">
        <v>300000</v>
      </c>
      <c r="F15" s="6" t="n">
        <v>300000</v>
      </c>
    </row>
    <row r="16">
      <c r="A16" s="5" t="inlineStr"/>
      <c r="B16" s="9" t="inlineStr"/>
      <c r="C16" s="9" t="inlineStr"/>
      <c r="D16" s="5" t="inlineStr">
        <is>
          <t>Reservas Legales</t>
        </is>
      </c>
      <c r="E16" s="6" t="n">
        <v>25000</v>
      </c>
      <c r="F16" s="6" t="n">
        <v>35000</v>
      </c>
    </row>
    <row r="17">
      <c r="A17" s="5" t="inlineStr"/>
      <c r="B17" s="9" t="inlineStr"/>
      <c r="C17" s="9" t="inlineStr"/>
      <c r="D17" s="5" t="inlineStr">
        <is>
          <t>Utilidades Retenidas</t>
        </is>
      </c>
      <c r="E17" s="6" t="n">
        <v>150000</v>
      </c>
      <c r="F17" s="6" t="n">
        <v>300000</v>
      </c>
    </row>
    <row r="18">
      <c r="A18" s="10" t="inlineStr"/>
      <c r="B18" s="12" t="inlineStr"/>
      <c r="C18" s="12" t="inlineStr"/>
      <c r="D18" s="7" t="inlineStr">
        <is>
          <t>TOTAL PATRIMONIO</t>
        </is>
      </c>
      <c r="E18" s="8" t="n">
        <v>475000</v>
      </c>
      <c r="F18" s="8" t="n">
        <v>635000</v>
      </c>
    </row>
    <row r="19">
      <c r="A19" s="7" t="inlineStr">
        <is>
          <t>TOTAL ACTIVO</t>
        </is>
      </c>
      <c r="B19" s="8" t="n">
        <v>725000</v>
      </c>
      <c r="C19" s="8" t="n">
        <v>1030000</v>
      </c>
      <c r="D19" s="7" t="inlineStr">
        <is>
          <t>TOTAL PASIVO + PATRIMONIO</t>
        </is>
      </c>
      <c r="E19" s="8" t="n">
        <v>725000</v>
      </c>
      <c r="F19" s="8" t="n">
        <v>1030000</v>
      </c>
    </row>
    <row r="20"/>
    <row r="21"/>
    <row r="22">
      <c r="A22" s="3" t="inlineStr">
        <is>
          <t>2. ESTADO DE RESULTADOS INTEGRAL COMPARATIVO</t>
        </is>
      </c>
    </row>
    <row r="23">
      <c r="A23" s="13" t="inlineStr">
        <is>
          <t>Concepto Económico</t>
        </is>
      </c>
      <c r="B23" s="13" t="inlineStr">
        <is>
          <t>Año 1 (BS)</t>
        </is>
      </c>
      <c r="C23" s="13" t="inlineStr">
        <is>
          <t>Año 2 (BS)</t>
        </is>
      </c>
    </row>
    <row r="24">
      <c r="A24" s="14" t="inlineStr">
        <is>
          <t>Ventas Netas Totales</t>
        </is>
      </c>
      <c r="B24" s="15" t="n">
        <v>1000000</v>
      </c>
      <c r="C24" s="15" t="n">
        <v>1400000</v>
      </c>
    </row>
    <row r="25">
      <c r="A25" s="14" t="inlineStr">
        <is>
          <t>Costo de Ventas</t>
        </is>
      </c>
      <c r="B25" s="15" t="n">
        <v>-600000</v>
      </c>
      <c r="C25" s="15" t="n">
        <v>-850000</v>
      </c>
    </row>
    <row r="26">
      <c r="A26" s="14" t="inlineStr">
        <is>
          <t>MARGEN BRUTO EN VENTAS</t>
        </is>
      </c>
      <c r="B26" s="15" t="n">
        <v>400000</v>
      </c>
      <c r="C26" s="15" t="n">
        <v>550000</v>
      </c>
    </row>
    <row r="27">
      <c r="A27" s="14" t="inlineStr">
        <is>
          <t>Gastos Operativos (Ventas y Administración)</t>
        </is>
      </c>
      <c r="B27" s="15" t="n">
        <v>-220000</v>
      </c>
      <c r="C27" s="15" t="n">
        <v>-310000</v>
      </c>
    </row>
    <row r="28">
      <c r="A28" s="5" t="inlineStr">
        <is>
          <t>Gastos por Depreciación</t>
        </is>
      </c>
      <c r="B28" s="6" t="n">
        <v>-30000</v>
      </c>
      <c r="C28" s="6" t="n">
        <v>-35000</v>
      </c>
    </row>
    <row r="29">
      <c r="A29" s="14" t="inlineStr">
        <is>
          <t>UTILIDAD OPERATIVA (EBIT)</t>
        </is>
      </c>
      <c r="B29" s="15" t="n">
        <v>150000</v>
      </c>
      <c r="C29" s="15" t="n">
        <v>205000</v>
      </c>
    </row>
    <row r="30">
      <c r="A30" s="5" t="inlineStr">
        <is>
          <t>Gastos Financieros (Intereses)</t>
        </is>
      </c>
      <c r="B30" s="6" t="n">
        <v>-20000</v>
      </c>
      <c r="C30" s="6" t="n">
        <v>-25000</v>
      </c>
    </row>
    <row r="31">
      <c r="A31" s="14" t="inlineStr">
        <is>
          <t>UTILIDAD ANTES DE IMPUESTOS (EBT)</t>
        </is>
      </c>
      <c r="B31" s="15" t="n">
        <v>130000</v>
      </c>
      <c r="C31" s="15" t="n">
        <v>180000</v>
      </c>
    </row>
    <row r="32">
      <c r="A32" s="5" t="inlineStr">
        <is>
          <t>Impuesto Sobre la Renta (ISLR - 30%)</t>
        </is>
      </c>
      <c r="B32" s="6" t="n">
        <v>-39000</v>
      </c>
      <c r="C32" s="6" t="n">
        <v>-54000</v>
      </c>
    </row>
    <row r="33">
      <c r="A33" s="7" t="inlineStr">
        <is>
          <t>UTILIDAD NETA DEL EJERCICIO</t>
        </is>
      </c>
      <c r="B33" s="8" t="n">
        <v>91000</v>
      </c>
      <c r="C33" s="8" t="n">
        <v>126000</v>
      </c>
    </row>
    <row r="34"/>
    <row r="35">
      <c r="A35" s="3" t="inlineStr">
        <is>
          <t>3. DATOS ADICIONALES PARA PUNTO DE EQUILIBRIO Y COSTOS (AÑO 2)</t>
        </is>
      </c>
    </row>
    <row r="36">
      <c r="A36" s="5" t="inlineStr">
        <is>
          <t>Gastos Operativos Fijos Totales (Alquileres, sueldos fijos, servicios)</t>
        </is>
      </c>
      <c r="B36" s="16" t="n">
        <v>210000</v>
      </c>
      <c r="C36" s="5" t="inlineStr">
        <is>
          <t>BS</t>
        </is>
      </c>
    </row>
    <row r="37">
      <c r="A37" s="5" t="inlineStr">
        <is>
          <t>Gastos Operativos Variables Totales (Comisiones, empaques, fletes)</t>
        </is>
      </c>
      <c r="B37" s="16" t="n">
        <v>100000</v>
      </c>
      <c r="C37" s="5" t="inlineStr">
        <is>
          <t>BS</t>
        </is>
      </c>
    </row>
    <row r="38">
      <c r="A38" s="5" t="inlineStr">
        <is>
          <t>Volumen Físico de Ventas (Unidades comercializadas en Año 2)</t>
        </is>
      </c>
      <c r="B38" s="14" t="n">
        <v>12727</v>
      </c>
      <c r="C38" s="5" t="inlineStr">
        <is>
          <t>Unidades</t>
        </is>
      </c>
    </row>
    <row r="39">
      <c r="A39" s="5" t="inlineStr">
        <is>
          <t>Precio Promedio de Venta Unitario (PVU en Año 2)</t>
        </is>
      </c>
      <c r="B39" s="16" t="n">
        <v>110</v>
      </c>
      <c r="C39" s="5" t="inlineStr">
        <is>
          <t>BS/Unidad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 outlineLevelCol="0"/>
  <cols>
    <col width="70" customWidth="1" min="1" max="1"/>
    <col width="54" customWidth="1" min="2" max="2"/>
    <col width="38" customWidth="1" min="3" max="3"/>
    <col width="21" customWidth="1" min="4" max="4"/>
    <col width="24" customWidth="1" min="5" max="5"/>
    <col width="25" customWidth="1" min="6" max="6"/>
    <col width="18" customWidth="1" min="7" max="7"/>
  </cols>
  <sheetData>
    <row r="1">
      <c r="A1" s="17" t="inlineStr">
        <is>
          <t>PLANTILLA DE TRABAJO PRÁCTICO PARA EL ESTUDIANTE</t>
        </is>
      </c>
    </row>
    <row r="2">
      <c r="A2" s="2" t="inlineStr">
        <is>
          <t>Complete las celdas amarillas aplicando las fórmulas del Módulo 10.</t>
        </is>
      </c>
    </row>
    <row r="3"/>
    <row r="4">
      <c r="A4" s="3" t="inlineStr">
        <is>
          <t>UNIDAD 1: ANÁLISIS VERTICAL Y HORIZONTAL DE ACTIVOS</t>
        </is>
      </c>
    </row>
    <row r="5">
      <c r="A5" s="4" t="inlineStr">
        <is>
          <t>Cuenta de Activo</t>
        </is>
      </c>
      <c r="B5" s="4" t="inlineStr">
        <is>
          <t>Año 1 (BS)</t>
        </is>
      </c>
      <c r="C5" s="4" t="inlineStr">
        <is>
          <t>Año 2 (BS)</t>
        </is>
      </c>
      <c r="D5" s="4" t="inlineStr">
        <is>
          <t>% Vertical (Año 2)</t>
        </is>
      </c>
      <c r="E5" s="4" t="inlineStr">
        <is>
          <t>Δ Absoluta (BS)</t>
        </is>
      </c>
      <c r="F5" s="4" t="inlineStr">
        <is>
          <t>% Variación Horizontal</t>
        </is>
      </c>
    </row>
    <row r="6">
      <c r="A6" s="18" t="inlineStr">
        <is>
          <t>Efectivo y Equivalentes</t>
        </is>
      </c>
      <c r="B6" s="19">
        <f> 'Estados Financieros (Datos)'!B6</f>
        <v/>
      </c>
      <c r="C6" s="19">
        <f> 'Estados Financieros (Datos)'!C6</f>
        <v/>
      </c>
      <c r="D6" s="20" t="n"/>
      <c r="E6" s="20" t="n"/>
      <c r="F6" s="20" t="n"/>
    </row>
    <row r="7">
      <c r="A7" s="18" t="inlineStr">
        <is>
          <t>Cuentas por Cobrar (Neto)</t>
        </is>
      </c>
      <c r="B7" s="19">
        <f> 'Estados Financieros (Datos)'!B7</f>
        <v/>
      </c>
      <c r="C7" s="19">
        <f> 'Estados Financieros (Datos)'!C7</f>
        <v/>
      </c>
      <c r="D7" s="20" t="n"/>
      <c r="E7" s="20" t="n"/>
      <c r="F7" s="20" t="n"/>
    </row>
    <row r="8">
      <c r="A8" s="18" t="inlineStr">
        <is>
          <t>Inventarios</t>
        </is>
      </c>
      <c r="B8" s="19">
        <f> 'Estados Financieros (Datos)'!B8</f>
        <v/>
      </c>
      <c r="C8" s="19">
        <f> 'Estados Financieros (Datos)'!C8</f>
        <v/>
      </c>
      <c r="D8" s="20" t="n"/>
      <c r="E8" s="20" t="n"/>
      <c r="F8" s="20" t="n"/>
    </row>
    <row r="9">
      <c r="A9" s="18" t="inlineStr">
        <is>
          <t>Terrenos y Edificios (Neto)</t>
        </is>
      </c>
      <c r="B9" s="19">
        <f> 'Estados Financieros (Datos)'!B11</f>
        <v/>
      </c>
      <c r="C9" s="19">
        <f> 'Estados Financieros (Datos)'!C11</f>
        <v/>
      </c>
      <c r="D9" s="20" t="n"/>
      <c r="E9" s="20" t="n"/>
      <c r="F9" s="20" t="n"/>
    </row>
    <row r="10">
      <c r="A10" s="18" t="inlineStr">
        <is>
          <t>Maquinaria y Equipos (Neto)</t>
        </is>
      </c>
      <c r="B10" s="19">
        <f> 'Estados Financieros (Datos)'!B12</f>
        <v/>
      </c>
      <c r="C10" s="19">
        <f> 'Estados Financieros (Datos)'!C12</f>
        <v/>
      </c>
      <c r="D10" s="20" t="n"/>
      <c r="E10" s="20" t="n"/>
      <c r="F10" s="20" t="n"/>
    </row>
    <row r="11">
      <c r="A11" s="3" t="inlineStr">
        <is>
          <t>TOTAL ACTIVO</t>
        </is>
      </c>
      <c r="B11" s="19">
        <f> 'Estados Financieros (Datos)'!B19</f>
        <v/>
      </c>
      <c r="C11" s="19">
        <f> 'Estados Financieros (Datos)'!C19</f>
        <v/>
      </c>
      <c r="D11" s="20" t="n"/>
      <c r="E11" s="20" t="n"/>
      <c r="F11" s="20" t="n"/>
    </row>
    <row r="12"/>
    <row r="13"/>
    <row r="14">
      <c r="A14" s="3" t="inlineStr">
        <is>
          <t>UNIDAD 1 Y 3: TABLA DE RATIOS E INDICADORES CLAVE (AÑO 2)</t>
        </is>
      </c>
    </row>
    <row r="15">
      <c r="A15" s="13" t="inlineStr">
        <is>
          <t>Ratio / Indicador Financiero</t>
        </is>
      </c>
      <c r="B15" s="13" t="inlineStr">
        <is>
          <t>Fórmula del Indicador</t>
        </is>
      </c>
      <c r="C15" s="13" t="inlineStr">
        <is>
          <t>Resultado Estudiante</t>
        </is>
      </c>
      <c r="D15" s="13" t="inlineStr">
        <is>
          <t>Valor Objetivo</t>
        </is>
      </c>
      <c r="E15" s="13" t="inlineStr">
        <is>
          <t>Evaluación / Dictamen</t>
        </is>
      </c>
    </row>
    <row r="16">
      <c r="A16" s="14" t="inlineStr">
        <is>
          <t>Razón Corriente (Liquidez General)</t>
        </is>
      </c>
      <c r="B16" s="5" t="inlineStr">
        <is>
          <t>Activo Corriente / Pasivo Corriente</t>
        </is>
      </c>
      <c r="C16" s="20" t="n"/>
      <c r="D16" s="5" t="inlineStr">
        <is>
          <t>1,50 - 2,50</t>
        </is>
      </c>
      <c r="E16" s="20" t="n"/>
    </row>
    <row r="17">
      <c r="A17" s="14" t="inlineStr">
        <is>
          <t>Prueba Ácida (Liquidez Severa)</t>
        </is>
      </c>
      <c r="B17" s="5" t="inlineStr">
        <is>
          <t>(Activo Corriente - Inventarios) / Pasivo Corriente</t>
        </is>
      </c>
      <c r="C17" s="20" t="n"/>
      <c r="D17" s="5" t="inlineStr">
        <is>
          <t>1,00 - 1,50</t>
        </is>
      </c>
      <c r="E17" s="20" t="n"/>
    </row>
    <row r="18">
      <c r="A18" s="14" t="inlineStr">
        <is>
          <t>Liquidez Inmediata (Efectivo en Bancos)</t>
        </is>
      </c>
      <c r="B18" s="5" t="inlineStr">
        <is>
          <t>Efectivo y Equivalentes / Pasivo Corriente</t>
        </is>
      </c>
      <c r="C18" s="20" t="n"/>
      <c r="D18" s="5" t="inlineStr">
        <is>
          <t>0,30 - 0,50</t>
        </is>
      </c>
      <c r="E18" s="20" t="n"/>
    </row>
    <row r="19">
      <c r="A19" s="14" t="inlineStr">
        <is>
          <t>Ratio de Endeudamiento Total</t>
        </is>
      </c>
      <c r="B19" s="5" t="inlineStr">
        <is>
          <t>(Pasivo Total / Activo Total) * 100</t>
        </is>
      </c>
      <c r="C19" s="20" t="n"/>
      <c r="D19" s="5" t="inlineStr">
        <is>
          <t>&lt;= 60,00%</t>
        </is>
      </c>
      <c r="E19" s="20" t="n"/>
    </row>
    <row r="20">
      <c r="A20" s="14" t="inlineStr">
        <is>
          <t>Período Medio de Cobro (PMC)</t>
        </is>
      </c>
      <c r="B20" s="5" t="inlineStr">
        <is>
          <t>(Cuentas por Cobrar Promedio / Ventas) * 365</t>
        </is>
      </c>
      <c r="C20" s="20" t="n"/>
      <c r="D20" s="5" t="inlineStr">
        <is>
          <t>&lt; PMP</t>
        </is>
      </c>
      <c r="E20" s="20" t="n"/>
    </row>
    <row r="21">
      <c r="A21" s="14" t="inlineStr">
        <is>
          <t>Días Promedio de Inventario (DPI)</t>
        </is>
      </c>
      <c r="B21" s="5" t="inlineStr">
        <is>
          <t>(Inventario Promedio / Costo Ventas) * 365</t>
        </is>
      </c>
      <c r="C21" s="20" t="n"/>
      <c r="D21" s="5" t="inlineStr">
        <is>
          <t>Optimizados</t>
        </is>
      </c>
      <c r="E21" s="20" t="n"/>
    </row>
    <row r="22">
      <c r="A22" s="14" t="inlineStr">
        <is>
          <t>Punto de Equilibrio en BS (Ve)</t>
        </is>
      </c>
      <c r="B22" s="5" t="inlineStr">
        <is>
          <t>Costos Fijos Totales / Ratio Margen Contribución</t>
        </is>
      </c>
      <c r="C22" s="20" t="n"/>
      <c r="D22" s="5" t="inlineStr">
        <is>
          <t>Cobertura 100%</t>
        </is>
      </c>
      <c r="E22" s="20" t="n"/>
    </row>
    <row r="23">
      <c r="A23" s="14" t="inlineStr">
        <is>
          <t>Punto de Equilibrio en Unidades (Qe)</t>
        </is>
      </c>
      <c r="B23" s="5" t="inlineStr">
        <is>
          <t>Costos Fijos Totales / Margen Contribución Unitario</t>
        </is>
      </c>
      <c r="C23" s="20" t="n"/>
      <c r="D23" s="5" t="inlineStr">
        <is>
          <t>Cobertura 100%</t>
        </is>
      </c>
      <c r="E23" s="20" t="n"/>
    </row>
    <row r="24">
      <c r="A24" s="14" t="inlineStr">
        <is>
          <t>ROA (Rendimiento del Activo)</t>
        </is>
      </c>
      <c r="B24" s="5" t="inlineStr">
        <is>
          <t>Utilidad Neta / Activo Total Promedio</t>
        </is>
      </c>
      <c r="C24" s="20" t="n"/>
      <c r="D24" s="5" t="inlineStr">
        <is>
          <t>&gt; 10,00%</t>
        </is>
      </c>
      <c r="E24" s="20" t="n"/>
    </row>
    <row r="25">
      <c r="A25" s="14" t="inlineStr">
        <is>
          <t>ROE (Rentabilidad del Patrimonio)</t>
        </is>
      </c>
      <c r="B25" s="5" t="inlineStr">
        <is>
          <t>Utilidad Neta / Patrimonio Promedio</t>
        </is>
      </c>
      <c r="C25" s="20" t="n"/>
      <c r="D25" s="5" t="inlineStr">
        <is>
          <t>&gt; Costo Capital</t>
        </is>
      </c>
      <c r="E25" s="20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54" customWidth="1" min="2" max="2"/>
    <col width="123" customWidth="1" min="3" max="3"/>
    <col width="42" customWidth="1" min="4" max="4"/>
    <col width="64" customWidth="1" min="5" max="5"/>
    <col width="25" customWidth="1" min="6" max="6"/>
    <col width="20" customWidth="1" min="7" max="7"/>
  </cols>
  <sheetData>
    <row r="1">
      <c r="A1" s="17" t="inlineStr">
        <is>
          <t>SOLUCIONARIO DOCENTE Y CLAVE DE RESPUESTAS (FÓRMULAS ACTIVAS)</t>
        </is>
      </c>
    </row>
    <row r="2">
      <c r="A2" s="2" t="inlineStr">
        <is>
          <t>Uso exclusivo del Facilitador (Prof. MSc. Frank Clemente)</t>
        </is>
      </c>
    </row>
    <row r="3"/>
    <row r="4">
      <c r="A4" s="3" t="inlineStr">
        <is>
          <t>1. SOLUCIÓN ANÁLISIS VERTICAL Y HORIZONTAL DE ACTIVOS</t>
        </is>
      </c>
    </row>
    <row r="5">
      <c r="A5" s="4" t="inlineStr">
        <is>
          <t>Cuenta de Activo</t>
        </is>
      </c>
      <c r="B5" s="4" t="inlineStr">
        <is>
          <t>Año 1 (BS)</t>
        </is>
      </c>
      <c r="C5" s="4" t="inlineStr">
        <is>
          <t>Año 2 (BS)</t>
        </is>
      </c>
      <c r="D5" s="4" t="inlineStr">
        <is>
          <t>% Vertical (Año 2)</t>
        </is>
      </c>
      <c r="E5" s="4" t="inlineStr">
        <is>
          <t>Δ Absoluta (BS)</t>
        </is>
      </c>
      <c r="F5" s="4" t="inlineStr">
        <is>
          <t>% Variación Horizontal</t>
        </is>
      </c>
    </row>
    <row r="6">
      <c r="A6" s="5" t="inlineStr">
        <is>
          <t>Efectivo y Equivalentes</t>
        </is>
      </c>
      <c r="B6" s="21">
        <f> 'Estados Financieros (Datos)'!B6</f>
        <v/>
      </c>
      <c r="C6" s="21">
        <f> 'Estados Financieros (Datos)'!C6</f>
        <v/>
      </c>
      <c r="D6" s="22">
        <f> C6/'Estados Financieros (Datos)'!C19</f>
        <v/>
      </c>
      <c r="E6" s="23">
        <f> C6-B6</f>
        <v/>
      </c>
      <c r="F6" s="22">
        <f> (C6-B6)/B6</f>
        <v/>
      </c>
    </row>
    <row r="7">
      <c r="A7" s="5" t="inlineStr">
        <is>
          <t>Cuentas por Cobrar (Neto)</t>
        </is>
      </c>
      <c r="B7" s="21">
        <f> 'Estados Financieros (Datos)'!B7</f>
        <v/>
      </c>
      <c r="C7" s="21">
        <f> 'Estados Financieros (Datos)'!C7</f>
        <v/>
      </c>
      <c r="D7" s="22">
        <f> C7/'Estados Financieros (Datos)'!C19</f>
        <v/>
      </c>
      <c r="E7" s="23">
        <f> C7-B7</f>
        <v/>
      </c>
      <c r="F7" s="22">
        <f> (C7-B7)/B7</f>
        <v/>
      </c>
    </row>
    <row r="8">
      <c r="A8" s="5" t="inlineStr">
        <is>
          <t>Inventarios</t>
        </is>
      </c>
      <c r="B8" s="21">
        <f> 'Estados Financieros (Datos)'!B8</f>
        <v/>
      </c>
      <c r="C8" s="21">
        <f> 'Estados Financieros (Datos)'!C8</f>
        <v/>
      </c>
      <c r="D8" s="22">
        <f> C8/'Estados Financieros (Datos)'!C19</f>
        <v/>
      </c>
      <c r="E8" s="23">
        <f> C8-B8</f>
        <v/>
      </c>
      <c r="F8" s="22">
        <f> (C8-B8)/B8</f>
        <v/>
      </c>
    </row>
    <row r="9">
      <c r="A9" s="5" t="inlineStr">
        <is>
          <t>Terrenos y Edificios (Neto)</t>
        </is>
      </c>
      <c r="B9" s="21">
        <f> 'Estados Financieros (Datos)'!B11</f>
        <v/>
      </c>
      <c r="C9" s="21">
        <f> 'Estados Financieros (Datos)'!C11</f>
        <v/>
      </c>
      <c r="D9" s="22">
        <f> C9/'Estados Financieros (Datos)'!C19</f>
        <v/>
      </c>
      <c r="E9" s="23">
        <f> C9-B9</f>
        <v/>
      </c>
      <c r="F9" s="22">
        <f> (C9-B9)/B9</f>
        <v/>
      </c>
    </row>
    <row r="10">
      <c r="A10" s="5" t="inlineStr">
        <is>
          <t>Maquinaria y Equipos (Neto)</t>
        </is>
      </c>
      <c r="B10" s="21">
        <f> 'Estados Financieros (Datos)'!B12</f>
        <v/>
      </c>
      <c r="C10" s="21">
        <f> 'Estados Financieros (Datos)'!C12</f>
        <v/>
      </c>
      <c r="D10" s="22">
        <f> C10/'Estados Financieros (Datos)'!C19</f>
        <v/>
      </c>
      <c r="E10" s="23">
        <f> C10-B10</f>
        <v/>
      </c>
      <c r="F10" s="22">
        <f> (C10-B10)/B10</f>
        <v/>
      </c>
    </row>
    <row r="11">
      <c r="A11" s="14" t="inlineStr">
        <is>
          <t>TOTAL ACTIVO</t>
        </is>
      </c>
      <c r="B11" s="21">
        <f> 'Estados Financieros (Datos)'!B19</f>
        <v/>
      </c>
      <c r="C11" s="21">
        <f> 'Estados Financieros (Datos)'!C19</f>
        <v/>
      </c>
      <c r="D11" s="22">
        <f> C11/'Estados Financieros (Datos)'!C19</f>
        <v/>
      </c>
      <c r="E11" s="23">
        <f> C11-B11</f>
        <v/>
      </c>
      <c r="F11" s="22">
        <f> (C11-B11)/B11</f>
        <v/>
      </c>
    </row>
    <row r="12"/>
    <row r="13"/>
    <row r="14">
      <c r="A14" s="3" t="inlineStr">
        <is>
          <t>2. SOLUCIÓN DE RATIOS E INDICADORES CLAVE (FÓRMULAS ACTIVAS)</t>
        </is>
      </c>
    </row>
    <row r="15">
      <c r="A15" s="13" t="inlineStr">
        <is>
          <t>Ratio / Indicador Financiero</t>
        </is>
      </c>
      <c r="B15" s="13" t="inlineStr">
        <is>
          <t>Fórmula del Indicador</t>
        </is>
      </c>
      <c r="C15" s="13" t="inlineStr">
        <is>
          <t>Resultado Calculado</t>
        </is>
      </c>
      <c r="D15" s="13" t="inlineStr">
        <is>
          <t>Valor Objetivo</t>
        </is>
      </c>
      <c r="E15" s="13" t="inlineStr">
        <is>
          <t>Dictamen Técnico Docente</t>
        </is>
      </c>
    </row>
    <row r="16">
      <c r="A16" s="14" t="inlineStr">
        <is>
          <t>Razón Corriente (Liquidez General)</t>
        </is>
      </c>
      <c r="B16" s="5" t="inlineStr">
        <is>
          <t>Activo Corriente / Pasivo Corriente</t>
        </is>
      </c>
      <c r="C16" s="24">
        <f> 'Estados Financieros (Datos)'!C9 / 'Estados Financieros (Datos)'!F9</f>
        <v/>
      </c>
      <c r="D16" s="5" t="inlineStr">
        <is>
          <t>1,50 - 2,50</t>
        </is>
      </c>
      <c r="E16" s="5" t="inlineStr">
        <is>
          <t>Solvente pero inflada por inventarios ilíquidos</t>
        </is>
      </c>
    </row>
    <row r="17">
      <c r="A17" s="14" t="inlineStr">
        <is>
          <t>Prueba Ácida (Liquidez Severa)</t>
        </is>
      </c>
      <c r="B17" s="5" t="inlineStr">
        <is>
          <t>(Activo Corriente - Inventarios) / Pasivo Corriente</t>
        </is>
      </c>
      <c r="C17" s="24">
        <f> ('Estados Financieros (Datos)'!C9 - 'Estados Financieros (Datos)'!C8) / 'Estados Financieros (Datos)'!F9</f>
        <v/>
      </c>
      <c r="D17" s="5" t="inlineStr">
        <is>
          <t>1,00 - 1,50</t>
        </is>
      </c>
      <c r="E17" s="5" t="inlineStr">
        <is>
          <t>Déficit severo de liquidez (0.93 BS por cada 1 BS de deuda)</t>
        </is>
      </c>
    </row>
    <row r="18">
      <c r="A18" s="14" t="inlineStr">
        <is>
          <t>Liquidez Inmediata (Efectivo Real)</t>
        </is>
      </c>
      <c r="B18" s="5" t="inlineStr">
        <is>
          <t>Efectivo y Equivalentes / Pasivo Corriente</t>
        </is>
      </c>
      <c r="C18" s="22">
        <f> 'Estados Financieros (Datos)'!C6 / 'Estados Financieros (Datos)'!F9</f>
        <v/>
      </c>
      <c r="D18" s="5" t="inlineStr">
        <is>
          <t>0,30 - 0,50</t>
        </is>
      </c>
      <c r="E18" s="5" t="inlineStr">
        <is>
          <t>CRÍTICO: Solo cubre el 1,8% de las deudas en banco</t>
        </is>
      </c>
    </row>
    <row r="19">
      <c r="A19" s="14" t="inlineStr">
        <is>
          <t>Ratio de Endeudamiento Total</t>
        </is>
      </c>
      <c r="B19" s="5" t="inlineStr">
        <is>
          <t>(Pasivo Total / Activo Total) * 100</t>
        </is>
      </c>
      <c r="C19" s="22">
        <f> 'Estados Financieros (Datos)'!F13 / 'Estados Financieros (Datos)'!C19</f>
        <v/>
      </c>
      <c r="D19" s="5" t="inlineStr">
        <is>
          <t>&lt;= 60,00%</t>
        </is>
      </c>
      <c r="E19" s="5" t="inlineStr">
        <is>
          <t>Saludable (38,35% de los activos financiados por terceros)</t>
        </is>
      </c>
    </row>
    <row r="20">
      <c r="A20" s="14" t="inlineStr">
        <is>
          <t>Período Medio de Cobro (PMC)</t>
        </is>
      </c>
      <c r="B20" s="5" t="inlineStr">
        <is>
          <t>(Cuentas por Cobrar Promedio / Ventas) * 365</t>
        </is>
      </c>
      <c r="C20" s="24">
        <f> (AVERAGE('Estados Financieros (Datos)'!B7,'Estados Financieros (Datos)'!C7) / 'Estados Financieros (Datos)'!C24) * 365</f>
        <v/>
      </c>
      <c r="D20" s="5" t="inlineStr">
        <is>
          <t>&lt; PMP</t>
        </is>
      </c>
      <c r="E20" s="5" t="inlineStr">
        <is>
          <t>Laxo: Tarda 43 días promedio en cobrar (65 días al cierre)</t>
        </is>
      </c>
    </row>
    <row r="21">
      <c r="A21" s="14" t="inlineStr">
        <is>
          <t>Punto de Equilibrio en BS (Ve)</t>
        </is>
      </c>
      <c r="B21" s="5" t="inlineStr">
        <is>
          <t>Costos Fijos Totales / Ratio Margen Contribución</t>
        </is>
      </c>
      <c r="C21" s="23">
        <f> (210000 + 35000) / ((1400000 - 950000) / 1400000)</f>
        <v/>
      </c>
      <c r="D21" s="5" t="inlineStr">
        <is>
          <t>Cobertura 100%</t>
        </is>
      </c>
      <c r="E21" s="5" t="inlineStr">
        <is>
          <t>Excelente: Requiere 762.222 BS de ventas (Vende 1,4 Millones)</t>
        </is>
      </c>
    </row>
    <row r="22">
      <c r="A22" s="14" t="inlineStr">
        <is>
          <t>ROA (Rendimiento del Activo)</t>
        </is>
      </c>
      <c r="B22" s="5" t="inlineStr">
        <is>
          <t>Utilidad Neta / Activo Total Promedio</t>
        </is>
      </c>
      <c r="C22" s="22">
        <f> 'Estados Financieros (Datos)'!C33 / AVERAGE('Estados Financieros (Datos)'!B19,'Estados Financieros (Datos)'!C19)</f>
        <v/>
      </c>
      <c r="D22" s="5" t="inlineStr">
        <is>
          <t>&gt; 10,00%</t>
        </is>
      </c>
      <c r="E22" s="5" t="inlineStr">
        <is>
          <t>Excelente eficiencia de activos (14,36%)</t>
        </is>
      </c>
    </row>
    <row r="23">
      <c r="A23" s="14" t="inlineStr">
        <is>
          <t>ROE (Rentabilidad del Patrimonio)</t>
        </is>
      </c>
      <c r="B23" s="5" t="inlineStr">
        <is>
          <t>Utilidad Neta / Patrimonio Promedio</t>
        </is>
      </c>
      <c r="C23" s="22">
        <f> 'Estados Financieros (Datos)'!C33 / AVERAGE('Estados Financieros (Datos)'!E18,'Estados Financieros (Datos)'!F18)</f>
        <v/>
      </c>
      <c r="D23" s="5" t="inlineStr">
        <is>
          <t>&gt; Costo Capital</t>
        </is>
      </c>
      <c r="E23" s="5" t="inlineStr">
        <is>
          <t>Sobresaliente retorno a los accionistas (22,70%)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2026-08-15T13:50:54Z</dcterms:created>
  <dcterms:modified xmlns:dcterms="http://purl.org/dc/terms/" xmlns:xsi="http://www.w3.org/2001/XMLSchema-instance" xsi:type="dcterms:W3CDTF">2026-08-15T13:50:54Z</dcterms:modified>
</cp:coreProperties>
</file>